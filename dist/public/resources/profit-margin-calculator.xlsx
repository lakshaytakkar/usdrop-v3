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4748B"/>
      <sz val="10"/>
    </font>
    <font>
      <b val="1"/>
      <color rgb="002E5BFF"/>
    </font>
    <font>
      <b val="1"/>
      <color rgb="000F172A"/>
    </font>
    <font>
      <color rgb="0094A3B8"/>
      <sz val="9"/>
    </font>
  </fonts>
  <fills count="6">
    <fill>
      <patternFill/>
    </fill>
    <fill>
      <patternFill patternType="gray125"/>
    </fill>
    <fill>
      <patternFill patternType="solid">
        <fgColor rgb="002E5BFF"/>
      </patternFill>
    </fill>
    <fill>
      <patternFill patternType="solid">
        <fgColor rgb="00F1F5F9"/>
      </patternFill>
    </fill>
    <fill>
      <patternFill patternType="solid">
        <fgColor rgb="00FFFDE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0" borderId="0" pivotButton="0" quotePrefix="0" xfId="0"/>
    <xf numFmtId="0" fontId="4" fillId="3" borderId="1" pivotButton="0" quotePrefix="0" xfId="0"/>
    <xf numFmtId="4" fontId="0" fillId="4" borderId="1" applyAlignment="1" pivotButton="0" quotePrefix="0" xfId="0">
      <alignment horizontal="right"/>
    </xf>
    <xf numFmtId="0" fontId="5" fillId="0" borderId="0" pivotButton="0" quotePrefix="0" xfId="0"/>
    <xf numFmtId="4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2" fontId="3" fillId="5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</cols>
  <sheetData>
    <row r="1" ht="28" customHeight="1">
      <c r="A1" s="1" t="inlineStr">
        <is>
          <t>USDrop  -  Profit Margin &amp; Pricing Calculator</t>
        </is>
      </c>
    </row>
    <row r="2" ht="18" customHeight="1">
      <c r="A2" s="2" t="inlineStr">
        <is>
          <t>Fill the yellow cells. Blue cells calculate automatically.</t>
        </is>
      </c>
    </row>
    <row r="3">
      <c r="A3" s="3" t="inlineStr">
        <is>
          <t>INPUTS</t>
        </is>
      </c>
    </row>
    <row r="4">
      <c r="A4" s="4" t="inlineStr">
        <is>
          <t>Selling price ($)</t>
        </is>
      </c>
      <c r="B4" s="5" t="n">
        <v>39.99</v>
      </c>
      <c r="C4" s="6" t="inlineStr">
        <is>
          <t>USD</t>
        </is>
      </c>
    </row>
    <row r="5">
      <c r="A5" s="4" t="inlineStr">
        <is>
          <t>Product cost ($)</t>
        </is>
      </c>
      <c r="B5" s="5" t="n">
        <v>8.5</v>
      </c>
      <c r="C5" s="6" t="inlineStr">
        <is>
          <t>from supplier</t>
        </is>
      </c>
    </row>
    <row r="6">
      <c r="A6" s="4" t="inlineStr">
        <is>
          <t>Shipping cost ($)</t>
        </is>
      </c>
      <c r="B6" s="5" t="n">
        <v>4</v>
      </c>
      <c r="C6" s="6" t="inlineStr">
        <is>
          <t>to customer</t>
        </is>
      </c>
    </row>
    <row r="7">
      <c r="A7" s="4" t="inlineStr">
        <is>
          <t>Payment processing fee (%)</t>
        </is>
      </c>
      <c r="B7" s="5" t="n">
        <v>2.9</v>
      </c>
      <c r="C7" s="6" t="inlineStr">
        <is>
          <t>e.g. Stripe ~2.9% + 30c</t>
        </is>
      </c>
    </row>
    <row r="8">
      <c r="A8" s="4" t="inlineStr">
        <is>
          <t>Processing flat fee ($)</t>
        </is>
      </c>
      <c r="B8" s="5" t="n">
        <v>0.3</v>
      </c>
      <c r="C8" s="6" t="inlineStr"/>
    </row>
    <row r="9">
      <c r="A9" s="4" t="inlineStr">
        <is>
          <t>Ad cost per order / CPA ($)</t>
        </is>
      </c>
      <c r="B9" s="5" t="n">
        <v>12</v>
      </c>
      <c r="C9" s="6" t="inlineStr">
        <is>
          <t>ad spend / orders</t>
        </is>
      </c>
    </row>
    <row r="10">
      <c r="A10" s="4" t="inlineStr">
        <is>
          <t>Misc cost per order ($)</t>
        </is>
      </c>
      <c r="B10" s="5" t="n">
        <v>0.5</v>
      </c>
      <c r="C10" s="6" t="inlineStr">
        <is>
          <t>packaging, apps</t>
        </is>
      </c>
    </row>
    <row r="12">
      <c r="A12" s="3" t="inlineStr">
        <is>
          <t>RESULTS</t>
        </is>
      </c>
    </row>
    <row r="13">
      <c r="A13" s="4" t="inlineStr">
        <is>
          <t>Processing fee ($)</t>
        </is>
      </c>
      <c r="B13" s="7">
        <f>B4*B7/100+B8</f>
        <v/>
      </c>
    </row>
    <row r="14">
      <c r="A14" s="4" t="inlineStr">
        <is>
          <t>Total cost per order ($)</t>
        </is>
      </c>
      <c r="B14" s="7">
        <f>B5+B6+B10+B4*B7/100+B8</f>
        <v/>
      </c>
    </row>
    <row r="15">
      <c r="A15" s="4" t="inlineStr">
        <is>
          <t>Gross profit / order ($)</t>
        </is>
      </c>
      <c r="B15" s="7">
        <f>B4-(B5+B6+B10+B4*B7/100+B8)</f>
        <v/>
      </c>
    </row>
    <row r="16">
      <c r="A16" s="4" t="inlineStr">
        <is>
          <t>Net profit after ads ($)</t>
        </is>
      </c>
      <c r="B16" s="7">
        <f>B4-(B5+B6+B10+B4*B7/100+B8)-B9</f>
        <v/>
      </c>
    </row>
    <row r="17">
      <c r="A17" s="4" t="inlineStr">
        <is>
          <t>Profit margin (%)</t>
        </is>
      </c>
      <c r="B17" s="8">
        <f>(B4-(B5+B6+B10+B4*B7/100+B8))/B4</f>
        <v/>
      </c>
    </row>
    <row r="18">
      <c r="A18" s="4" t="inlineStr">
        <is>
          <t>Break-even ROAS</t>
        </is>
      </c>
      <c r="B18" s="9">
        <f>B4/(B4-(B5+B6+B10+B4*B7/100+B8))</f>
        <v/>
      </c>
    </row>
    <row r="19">
      <c r="A19" s="4" t="inlineStr">
        <is>
          <t>Break-even CPA ($)</t>
        </is>
      </c>
      <c r="B19" s="7">
        <f>B4-(B5+B6+B10+B4*B7/100+B8)</f>
        <v/>
      </c>
    </row>
    <row r="21">
      <c r="A21" s="3" t="inlineStr">
        <is>
          <t>TARGET PRICING</t>
        </is>
      </c>
    </row>
    <row r="22">
      <c r="A22" s="4" t="inlineStr">
        <is>
          <t>Target margin (%)</t>
        </is>
      </c>
      <c r="B22" s="10" t="n">
        <v>30</v>
      </c>
    </row>
    <row r="23">
      <c r="A23" s="4" t="inlineStr">
        <is>
          <t>Suggested selling price ($)</t>
        </is>
      </c>
      <c r="B23" s="7">
        <f>(B5+B6+B10+B9+B8)/(1-B22/100-B7/100)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2026-07-01T10:00:18Z</dcterms:created>
  <dcterms:modified xsi:type="dcterms:W3CDTF">2026-07-01T10:00:18Z</dcterms:modified>
</cp:coreProperties>
</file>