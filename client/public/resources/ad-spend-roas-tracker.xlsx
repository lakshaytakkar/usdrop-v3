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4748B"/>
      <sz val="10"/>
    </font>
    <font>
      <b val="1"/>
      <color rgb="000F172A"/>
    </font>
    <font>
      <b val="1"/>
      <color rgb="00FFFFFF"/>
    </font>
    <font>
      <b val="1"/>
      <color rgb="002E5BFF"/>
    </font>
  </fonts>
  <fills count="7">
    <fill>
      <patternFill/>
    </fill>
    <fill>
      <patternFill patternType="gray125"/>
    </fill>
    <fill>
      <patternFill patternType="solid">
        <fgColor rgb="002E5BFF"/>
      </patternFill>
    </fill>
    <fill>
      <patternFill patternType="solid">
        <fgColor rgb="00F1F5F9"/>
      </patternFill>
    </fill>
    <fill>
      <patternFill patternType="solid">
        <fgColor rgb="00FFFDE7"/>
      </patternFill>
    </fill>
    <fill>
      <patternFill patternType="solid">
        <fgColor rgb="000F172A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1" pivotButton="0" quotePrefix="0" xfId="0"/>
    <xf numFmtId="1" fontId="0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4" borderId="1" applyAlignment="1" pivotButton="0" quotePrefix="0" xfId="0">
      <alignment horizontal="right"/>
    </xf>
    <xf numFmtId="2" fontId="0" fillId="0" borderId="1" pivotButton="0" quotePrefix="0" xfId="0"/>
    <xf numFmtId="4" fontId="0" fillId="0" borderId="1" pivotButton="0" quotePrefix="0" xfId="0"/>
    <xf numFmtId="4" fontId="5" fillId="6" borderId="1" applyAlignment="1" pivotButton="0" quotePrefix="0" xfId="0">
      <alignment horizontal="right"/>
    </xf>
    <xf numFmtId="1" fontId="5" fillId="6" borderId="1" applyAlignment="1" pivotButton="0" quotePrefix="0" xfId="0">
      <alignment horizontal="right"/>
    </xf>
    <xf numFmtId="2" fontId="5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1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  <col width="13" customWidth="1" min="9" max="9"/>
  </cols>
  <sheetData>
    <row r="1" ht="28" customHeight="1">
      <c r="A1" s="1" t="inlineStr">
        <is>
          <t>USDrop  -  Ad Spend &amp; ROAS Tracker</t>
        </is>
      </c>
    </row>
    <row r="2" ht="18" customHeight="1">
      <c r="A2" s="2" t="inlineStr">
        <is>
          <t>Log daily ad results. ROAS, CPA, AOV and profit calculate automatically.</t>
        </is>
      </c>
    </row>
    <row r="4">
      <c r="A4" s="3" t="inlineStr">
        <is>
          <t>Avg profit margin (%) -&gt;</t>
        </is>
      </c>
      <c r="B4" s="4" t="n">
        <v>30</v>
      </c>
    </row>
    <row r="6">
      <c r="A6" s="5" t="inlineStr">
        <is>
          <t>Date</t>
        </is>
      </c>
      <c r="B6" s="5" t="inlineStr">
        <is>
          <t>Campaign / Product</t>
        </is>
      </c>
      <c r="C6" s="5" t="inlineStr">
        <is>
          <t>Spend ($)</t>
        </is>
      </c>
      <c r="D6" s="5" t="inlineStr">
        <is>
          <t>Revenue ($)</t>
        </is>
      </c>
      <c r="E6" s="5" t="inlineStr">
        <is>
          <t>Orders</t>
        </is>
      </c>
      <c r="F6" s="5" t="inlineStr">
        <is>
          <t>ROAS</t>
        </is>
      </c>
      <c r="G6" s="5" t="inlineStr">
        <is>
          <t>CPA ($)</t>
        </is>
      </c>
      <c r="H6" s="5" t="inlineStr">
        <is>
          <t>AOV ($)</t>
        </is>
      </c>
      <c r="I6" s="5" t="inlineStr">
        <is>
          <t>Est. Profit ($)</t>
        </is>
      </c>
    </row>
    <row r="7">
      <c r="A7" s="6" t="inlineStr">
        <is>
          <t>2026-02-01</t>
        </is>
      </c>
      <c r="B7" s="6" t="inlineStr">
        <is>
          <t>Gold Necklace - Meta</t>
        </is>
      </c>
      <c r="C7" s="7" t="n">
        <v>50</v>
      </c>
      <c r="D7" s="7" t="n">
        <v>180</v>
      </c>
      <c r="E7" s="4" t="n">
        <v>5</v>
      </c>
      <c r="F7" s="8">
        <f>IF(C7=0,"",D7/C7)</f>
        <v/>
      </c>
      <c r="G7" s="9">
        <f>IF(E7=0,"",C7/E7)</f>
        <v/>
      </c>
      <c r="H7" s="9">
        <f>IF(E7=0,"",D7/E7)</f>
        <v/>
      </c>
      <c r="I7" s="10">
        <f>IF(C7=0,"",D7*$B$4/100-C7)</f>
        <v/>
      </c>
    </row>
    <row r="8">
      <c r="A8" s="6" t="inlineStr">
        <is>
          <t>2026-02-02</t>
        </is>
      </c>
      <c r="B8" s="6" t="inlineStr">
        <is>
          <t>Gold Necklace - Meta</t>
        </is>
      </c>
      <c r="C8" s="7" t="n">
        <v>65</v>
      </c>
      <c r="D8" s="7" t="n">
        <v>240</v>
      </c>
      <c r="E8" s="4" t="n">
        <v>7</v>
      </c>
      <c r="F8" s="8">
        <f>IF(C8=0,"",D8/C8)</f>
        <v/>
      </c>
      <c r="G8" s="9">
        <f>IF(E8=0,"",C8/E8)</f>
        <v/>
      </c>
      <c r="H8" s="9">
        <f>IF(E8=0,"",D8/E8)</f>
        <v/>
      </c>
      <c r="I8" s="10">
        <f>IF(C8=0,"",D8*$B$4/100-C8)</f>
        <v/>
      </c>
    </row>
    <row r="9">
      <c r="A9" s="6" t="inlineStr">
        <is>
          <t>2026-02-03</t>
        </is>
      </c>
      <c r="B9" s="6" t="inlineStr">
        <is>
          <t>Yoga Mat - TikTok</t>
        </is>
      </c>
      <c r="C9" s="7" t="n">
        <v>40</v>
      </c>
      <c r="D9" s="7" t="n">
        <v>95</v>
      </c>
      <c r="E9" s="4" t="n">
        <v>3</v>
      </c>
      <c r="F9" s="8">
        <f>IF(C9=0,"",D9/C9)</f>
        <v/>
      </c>
      <c r="G9" s="9">
        <f>IF(E9=0,"",C9/E9)</f>
        <v/>
      </c>
      <c r="H9" s="9">
        <f>IF(E9=0,"",D9/E9)</f>
        <v/>
      </c>
      <c r="I9" s="10">
        <f>IF(C9=0,"",D9*$B$4/100-C9)</f>
        <v/>
      </c>
    </row>
    <row r="10">
      <c r="A10" s="6" t="inlineStr"/>
      <c r="B10" s="6" t="inlineStr"/>
      <c r="C10" s="7" t="n"/>
      <c r="D10" s="7" t="n"/>
      <c r="E10" s="4" t="n"/>
      <c r="F10" s="8">
        <f>IF(C10=0,"",D10/C10)</f>
        <v/>
      </c>
      <c r="G10" s="9">
        <f>IF(E10=0,"",C10/E10)</f>
        <v/>
      </c>
      <c r="H10" s="9">
        <f>IF(E10=0,"",D10/E10)</f>
        <v/>
      </c>
      <c r="I10" s="10">
        <f>IF(C10=0,"",D10*$B$4/100-C10)</f>
        <v/>
      </c>
    </row>
    <row r="11">
      <c r="A11" s="6" t="inlineStr"/>
      <c r="B11" s="6" t="inlineStr"/>
      <c r="C11" s="7" t="n"/>
      <c r="D11" s="7" t="n"/>
      <c r="E11" s="4" t="n"/>
      <c r="F11" s="8">
        <f>IF(C11=0,"",D11/C11)</f>
        <v/>
      </c>
      <c r="G11" s="9">
        <f>IF(E11=0,"",C11/E11)</f>
        <v/>
      </c>
      <c r="H11" s="9">
        <f>IF(E11=0,"",D11/E11)</f>
        <v/>
      </c>
      <c r="I11" s="10">
        <f>IF(C11=0,"",D11*$B$4/100-C11)</f>
        <v/>
      </c>
    </row>
    <row r="12">
      <c r="A12" s="6" t="inlineStr"/>
      <c r="B12" s="6" t="inlineStr"/>
      <c r="C12" s="7" t="n"/>
      <c r="D12" s="7" t="n"/>
      <c r="E12" s="4" t="n"/>
      <c r="F12" s="8">
        <f>IF(C12=0,"",D12/C12)</f>
        <v/>
      </c>
      <c r="G12" s="9">
        <f>IF(E12=0,"",C12/E12)</f>
        <v/>
      </c>
      <c r="H12" s="9">
        <f>IF(E12=0,"",D12/E12)</f>
        <v/>
      </c>
      <c r="I12" s="10">
        <f>IF(C12=0,"",D12*$B$4/100-C12)</f>
        <v/>
      </c>
    </row>
    <row r="13">
      <c r="A13" s="6" t="inlineStr"/>
      <c r="B13" s="6" t="inlineStr"/>
      <c r="C13" s="7" t="n"/>
      <c r="D13" s="7" t="n"/>
      <c r="E13" s="4" t="n"/>
      <c r="F13" s="8">
        <f>IF(C13=0,"",D13/C13)</f>
        <v/>
      </c>
      <c r="G13" s="9">
        <f>IF(E13=0,"",C13/E13)</f>
        <v/>
      </c>
      <c r="H13" s="9">
        <f>IF(E13=0,"",D13/E13)</f>
        <v/>
      </c>
      <c r="I13" s="10">
        <f>IF(C13=0,"",D13*$B$4/100-C13)</f>
        <v/>
      </c>
    </row>
    <row r="14">
      <c r="A14" s="6" t="inlineStr"/>
      <c r="B14" s="6" t="inlineStr"/>
      <c r="C14" s="7" t="n"/>
      <c r="D14" s="7" t="n"/>
      <c r="E14" s="4" t="n"/>
      <c r="F14" s="8">
        <f>IF(C14=0,"",D14/C14)</f>
        <v/>
      </c>
      <c r="G14" s="9">
        <f>IF(E14=0,"",C14/E14)</f>
        <v/>
      </c>
      <c r="H14" s="9">
        <f>IF(E14=0,"",D14/E14)</f>
        <v/>
      </c>
      <c r="I14" s="10">
        <f>IF(C14=0,"",D14*$B$4/100-C14)</f>
        <v/>
      </c>
    </row>
    <row r="15">
      <c r="A15" s="6" t="inlineStr"/>
      <c r="B15" s="6" t="inlineStr"/>
      <c r="C15" s="7" t="n"/>
      <c r="D15" s="7" t="n"/>
      <c r="E15" s="4" t="n"/>
      <c r="F15" s="8">
        <f>IF(C15=0,"",D15/C15)</f>
        <v/>
      </c>
      <c r="G15" s="9">
        <f>IF(E15=0,"",C15/E15)</f>
        <v/>
      </c>
      <c r="H15" s="9">
        <f>IF(E15=0,"",D15/E15)</f>
        <v/>
      </c>
      <c r="I15" s="10">
        <f>IF(C15=0,"",D15*$B$4/100-C15)</f>
        <v/>
      </c>
    </row>
    <row r="16">
      <c r="A16" s="6" t="inlineStr"/>
      <c r="B16" s="6" t="inlineStr"/>
      <c r="C16" s="7" t="n"/>
      <c r="D16" s="7" t="n"/>
      <c r="E16" s="4" t="n"/>
      <c r="F16" s="8">
        <f>IF(C16=0,"",D16/C16)</f>
        <v/>
      </c>
      <c r="G16" s="9">
        <f>IF(E16=0,"",C16/E16)</f>
        <v/>
      </c>
      <c r="H16" s="9">
        <f>IF(E16=0,"",D16/E16)</f>
        <v/>
      </c>
      <c r="I16" s="10">
        <f>IF(C16=0,"",D16*$B$4/100-C16)</f>
        <v/>
      </c>
    </row>
    <row r="17">
      <c r="A17" s="6" t="inlineStr"/>
      <c r="B17" s="6" t="inlineStr"/>
      <c r="C17" s="7" t="n"/>
      <c r="D17" s="7" t="n"/>
      <c r="E17" s="4" t="n"/>
      <c r="F17" s="8">
        <f>IF(C17=0,"",D17/C17)</f>
        <v/>
      </c>
      <c r="G17" s="9">
        <f>IF(E17=0,"",C17/E17)</f>
        <v/>
      </c>
      <c r="H17" s="9">
        <f>IF(E17=0,"",D17/E17)</f>
        <v/>
      </c>
      <c r="I17" s="10">
        <f>IF(C17=0,"",D17*$B$4/100-C17)</f>
        <v/>
      </c>
    </row>
    <row r="18">
      <c r="A18" s="6" t="inlineStr"/>
      <c r="B18" s="6" t="inlineStr"/>
      <c r="C18" s="7" t="n"/>
      <c r="D18" s="7" t="n"/>
      <c r="E18" s="4" t="n"/>
      <c r="F18" s="8">
        <f>IF(C18=0,"",D18/C18)</f>
        <v/>
      </c>
      <c r="G18" s="9">
        <f>IF(E18=0,"",C18/E18)</f>
        <v/>
      </c>
      <c r="H18" s="9">
        <f>IF(E18=0,"",D18/E18)</f>
        <v/>
      </c>
      <c r="I18" s="10">
        <f>IF(C18=0,"",D18*$B$4/100-C18)</f>
        <v/>
      </c>
    </row>
    <row r="19">
      <c r="A19" s="6" t="inlineStr"/>
      <c r="B19" s="6" t="inlineStr"/>
      <c r="C19" s="7" t="n"/>
      <c r="D19" s="7" t="n"/>
      <c r="E19" s="4" t="n"/>
      <c r="F19" s="8">
        <f>IF(C19=0,"",D19/C19)</f>
        <v/>
      </c>
      <c r="G19" s="9">
        <f>IF(E19=0,"",C19/E19)</f>
        <v/>
      </c>
      <c r="H19" s="9">
        <f>IF(E19=0,"",D19/E19)</f>
        <v/>
      </c>
      <c r="I19" s="10">
        <f>IF(C19=0,"",D19*$B$4/100-C19)</f>
        <v/>
      </c>
    </row>
    <row r="20">
      <c r="A20" s="6" t="inlineStr"/>
      <c r="B20" s="6" t="inlineStr"/>
      <c r="C20" s="7" t="n"/>
      <c r="D20" s="7" t="n"/>
      <c r="E20" s="4" t="n"/>
      <c r="F20" s="8">
        <f>IF(C20=0,"",D20/C20)</f>
        <v/>
      </c>
      <c r="G20" s="9">
        <f>IF(E20=0,"",C20/E20)</f>
        <v/>
      </c>
      <c r="H20" s="9">
        <f>IF(E20=0,"",D20/E20)</f>
        <v/>
      </c>
      <c r="I20" s="10">
        <f>IF(C20=0,"",D20*$B$4/100-C20)</f>
        <v/>
      </c>
    </row>
    <row r="21">
      <c r="A21" s="6" t="inlineStr"/>
      <c r="B21" s="6" t="inlineStr"/>
      <c r="C21" s="7" t="n"/>
      <c r="D21" s="7" t="n"/>
      <c r="E21" s="4" t="n"/>
      <c r="F21" s="8">
        <f>IF(C21=0,"",D21/C21)</f>
        <v/>
      </c>
      <c r="G21" s="9">
        <f>IF(E21=0,"",C21/E21)</f>
        <v/>
      </c>
      <c r="H21" s="9">
        <f>IF(E21=0,"",D21/E21)</f>
        <v/>
      </c>
      <c r="I21" s="10">
        <f>IF(C21=0,"",D21*$B$4/100-C21)</f>
        <v/>
      </c>
    </row>
    <row r="22">
      <c r="B22" s="3" t="inlineStr">
        <is>
          <t>TOTAL</t>
        </is>
      </c>
      <c r="C22" s="10">
        <f>SUM(C7:C21)</f>
        <v/>
      </c>
      <c r="D22" s="10">
        <f>SUM(D7:D21)</f>
        <v/>
      </c>
      <c r="E22" s="11">
        <f>SUM(E7:E21)</f>
        <v/>
      </c>
      <c r="F22" s="12">
        <f>IF(C22=0,"",D22/C22)</f>
        <v/>
      </c>
      <c r="I22" s="10">
        <f>SUM(I7:I21)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2026-07-01T10:00:18Z</dcterms:created>
  <dcterms:modified xsi:type="dcterms:W3CDTF">2026-07-01T10:00:18Z</dcterms:modified>
</cp:coreProperties>
</file>